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C78E29D3-C89A-418E-9F96-7422FF57E40C}" xr6:coauthVersionLast="47" xr6:coauthVersionMax="47" xr10:uidLastSave="{00000000-0000-0000-0000-000000000000}"/>
  <bookViews>
    <workbookView xWindow="-108" yWindow="-108" windowWidth="23256" windowHeight="12456" xr2:uid="{373AF2F8-AE6C-5344-8838-EACBC956A0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5" i="1" l="1"/>
  <c r="E34" i="1"/>
  <c r="D42" i="1"/>
  <c r="E10" i="1"/>
  <c r="E3" i="1"/>
  <c r="E4" i="1"/>
  <c r="E5" i="1"/>
  <c r="E6" i="1"/>
  <c r="E7" i="1"/>
  <c r="E9" i="1"/>
  <c r="E11" i="1"/>
  <c r="E12" i="1"/>
  <c r="E13" i="1"/>
  <c r="E14" i="1"/>
  <c r="E15" i="1"/>
  <c r="E17" i="1"/>
  <c r="E18" i="1"/>
  <c r="E19" i="1"/>
  <c r="E20" i="1"/>
  <c r="E22" i="1"/>
  <c r="E23" i="1"/>
  <c r="E24" i="1"/>
  <c r="E25" i="1"/>
  <c r="E27" i="1"/>
  <c r="E28" i="1"/>
  <c r="E29" i="1"/>
  <c r="E31" i="1"/>
  <c r="D40" i="1" s="1"/>
  <c r="E32" i="1"/>
  <c r="E33" i="1"/>
  <c r="E36" i="1"/>
  <c r="E37" i="1"/>
</calcChain>
</file>

<file path=xl/sharedStrings.xml><?xml version="1.0" encoding="utf-8"?>
<sst xmlns="http://schemas.openxmlformats.org/spreadsheetml/2006/main" count="77" uniqueCount="76">
  <si>
    <t>Item</t>
  </si>
  <si>
    <t>Description</t>
  </si>
  <si>
    <t>Unit Price</t>
  </si>
  <si>
    <t>Quantity</t>
  </si>
  <si>
    <t>Total Price</t>
  </si>
  <si>
    <t>Arduino Nano</t>
  </si>
  <si>
    <t>Node MCU ESP8266</t>
  </si>
  <si>
    <t>L298N Motor Driver Module</t>
  </si>
  <si>
    <t>RC 522 RFID Reader Module</t>
  </si>
  <si>
    <t>RFID Cards</t>
  </si>
  <si>
    <t>HX 711 Load Cell Amplifier Module</t>
  </si>
  <si>
    <t>1Kg Load Cell Sensor</t>
  </si>
  <si>
    <t>5 Chennel IR Line Sensor Panal</t>
  </si>
  <si>
    <t>16*2 LCD with I2C Adaptor</t>
  </si>
  <si>
    <t>Buzzer (5V)</t>
  </si>
  <si>
    <t>Red LED (5mm)</t>
  </si>
  <si>
    <t>Green LED (5mm)</t>
  </si>
  <si>
    <t>4 Wheel Smart Car Chessi</t>
  </si>
  <si>
    <t>DC-DC  Buck Converter (LM 2596)</t>
  </si>
  <si>
    <t>2-Pin Rocker Switch</t>
  </si>
  <si>
    <t>Acrylic/Aluminium Luggage Platform</t>
  </si>
  <si>
    <t>Bread Board (400 Tie Points)</t>
  </si>
  <si>
    <t>Jumper Wire Set (M to F &amp; F to F M to M)</t>
  </si>
  <si>
    <t>Double Sided Foam Tape</t>
  </si>
  <si>
    <t>Zip Ties</t>
  </si>
  <si>
    <t>Soldaring Kit</t>
  </si>
  <si>
    <t>Black Insulation Tape </t>
  </si>
  <si>
    <t>White Chart</t>
  </si>
  <si>
    <t>3.7V 1200mA 18650 Li-ion Rechargeable Battery (BA0042)</t>
  </si>
  <si>
    <t>3.7V 3200mA 18650 Li-ion Rechargeable Battery (BA0026)</t>
  </si>
  <si>
    <t>220 ohm resister </t>
  </si>
  <si>
    <t>Li-ion 18650 2S 20A BMS Battery Protection Board 7.4V 8.4V (MD0909)</t>
  </si>
  <si>
    <t>ATmega328P microcontroller (controls motors, sensors, LCD).</t>
  </si>
  <si>
    <t>Wi‑Fi MCU for software connectivity; can handle RFID + cloud/telemetry.</t>
  </si>
  <si>
    <t>Dual H‑bridge to drive left/right motor pairs from logic pins.</t>
  </si>
  <si>
    <t>13.56 MHz SPI reader to scan passenger card (Location 01–04).</t>
  </si>
  <si>
    <t>Cards to encode destination IDs; one per location.</t>
  </si>
  <si>
    <t>24‑bit ADC + amplifier to read the load cell digitally.</t>
  </si>
  <si>
    <t>Measures luggage weight up to 1 kg under the platform.</t>
  </si>
  <si>
    <t>TCRT5000/QTR array for line following &amp; T‑junction detection.</t>
  </si>
  <si>
    <t>User display for weight, prompts, and selected location.</t>
  </si>
  <si>
    <t>Audible alerts for overweight/error/arrival.</t>
  </si>
  <si>
    <t>Error indicator (overweight/invalid card).</t>
  </si>
  <si>
    <t>Ready/OK indicator.</t>
  </si>
  <si>
    <t>Acrylic chassis with 4 TT gear motors, 4 wheels, brackets, standoffs, screws, battery holder.</t>
  </si>
  <si>
    <t>Steps 7.4 V down to regulated 5 V for logic &amp; sensors.</t>
  </si>
  <si>
    <t>Main power ON/OFF switch.</t>
  </si>
  <si>
    <t>Top plate mounted on load cell to place luggage.</t>
  </si>
  <si>
    <t>Prototyping board for initial wiring.</t>
  </si>
  <si>
    <t>Dupont wires for connections (≈40 pcs).</t>
  </si>
  <si>
    <t>Mounting small modules (HX711, LM2596, buzzer).</t>
  </si>
  <si>
    <t>Cable management and strain relief.</t>
  </si>
  <si>
    <t>Electronics Joining Essentials</t>
  </si>
  <si>
    <t>Electrical Insulating Adhesive</t>
  </si>
  <si>
    <t>For the sample road</t>
  </si>
  <si>
    <t>For power up the project</t>
  </si>
  <si>
    <t>To power the project</t>
  </si>
  <si>
    <t>For hold the battery</t>
  </si>
  <si>
    <t>For voltage adjust </t>
  </si>
  <si>
    <t>For protection</t>
  </si>
  <si>
    <t xml:space="preserve">TOTAL COST = </t>
  </si>
  <si>
    <t>COST PER MEMBER =</t>
  </si>
  <si>
    <t>Core Electronics</t>
  </si>
  <si>
    <t>Mechanical &amp; Power Components</t>
  </si>
  <si>
    <t xml:space="preserve">           </t>
  </si>
  <si>
    <t xml:space="preserve">   </t>
  </si>
  <si>
    <t xml:space="preserve">      </t>
  </si>
  <si>
    <t>Prototyping &amp; Accessories</t>
  </si>
  <si>
    <t>Tools &amp; Assembly Materials</t>
  </si>
  <si>
    <t>Power Supply &amp; Protection</t>
  </si>
  <si>
    <t>Ultrasonic Sensor</t>
  </si>
  <si>
    <t>To detect objects</t>
  </si>
  <si>
    <t>2kΩ resister</t>
  </si>
  <si>
    <t>Drop the voltage to connect arduino with node mcu</t>
  </si>
  <si>
    <t>1KΩ</t>
  </si>
  <si>
    <t>Battery Holder Case for 3x18650 (BA0040)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</si>
</sst>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Aptos Narrow"/>
      <family val="2"/>
      <scheme val="minor"/>
    </font>
    <font>
      <sz val="10"/>
      <color rgb="FF000000"/>
      <name val="Helvetica"/>
      <family val="2"/>
    </font>
    <font>
      <b/>
      <sz val="12"/>
      <color theme="1"/>
      <name val="American Typewriter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2" fillId="3" borderId="0" xfId="0" applyFont="1" applyFill="1"/>
    <xf numFmtId="0" fontId="2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81663-3EC9-2D4E-A8DE-4D64A0C722A7}">
  <dimension ref="A1:E42"/>
  <sheetViews>
    <sheetView tabSelected="1" workbookViewId="0">
      <selection activeCell="A33" sqref="A33"/>
    </sheetView>
  </sheetViews>
  <sheetFormatPr defaultColWidth="10.90625" defaultRowHeight="15"/>
  <cols>
    <col min="1" max="1" width="57" customWidth="1"/>
    <col min="2" max="2" width="70.453125" customWidth="1"/>
    <col min="10" max="10" width="19.81640625" customWidth="1"/>
  </cols>
  <sheetData>
    <row r="1" spans="1:5">
      <c r="A1" t="s">
        <v>0</v>
      </c>
      <c r="B1" t="s">
        <v>1</v>
      </c>
      <c r="C1" t="s">
        <v>3</v>
      </c>
      <c r="D1" t="s">
        <v>2</v>
      </c>
      <c r="E1" t="s">
        <v>4</v>
      </c>
    </row>
    <row r="2" spans="1:5" ht="15.6">
      <c r="A2" s="4" t="s">
        <v>64</v>
      </c>
      <c r="B2" s="5" t="s">
        <v>62</v>
      </c>
      <c r="C2" s="3"/>
      <c r="D2" s="3"/>
      <c r="E2" s="3"/>
    </row>
    <row r="3" spans="1:5">
      <c r="A3" t="s">
        <v>5</v>
      </c>
      <c r="B3" s="1" t="s">
        <v>32</v>
      </c>
      <c r="C3">
        <v>1</v>
      </c>
      <c r="D3">
        <v>850</v>
      </c>
      <c r="E3">
        <f t="shared" ref="E3:E37" si="0">C3*D3</f>
        <v>850</v>
      </c>
    </row>
    <row r="4" spans="1:5">
      <c r="A4" t="s">
        <v>6</v>
      </c>
      <c r="B4" s="1" t="s">
        <v>33</v>
      </c>
      <c r="C4">
        <v>1</v>
      </c>
      <c r="D4">
        <v>1260</v>
      </c>
      <c r="E4">
        <f t="shared" si="0"/>
        <v>1260</v>
      </c>
    </row>
    <row r="5" spans="1:5">
      <c r="A5" s="1" t="s">
        <v>7</v>
      </c>
      <c r="B5" s="1" t="s">
        <v>34</v>
      </c>
      <c r="C5">
        <v>1</v>
      </c>
      <c r="D5">
        <v>400</v>
      </c>
      <c r="E5">
        <f t="shared" si="0"/>
        <v>400</v>
      </c>
    </row>
    <row r="6" spans="1:5">
      <c r="A6" s="1" t="s">
        <v>8</v>
      </c>
      <c r="B6" s="1" t="s">
        <v>35</v>
      </c>
      <c r="C6">
        <v>1</v>
      </c>
      <c r="D6">
        <v>260</v>
      </c>
      <c r="E6">
        <f t="shared" si="0"/>
        <v>260</v>
      </c>
    </row>
    <row r="7" spans="1:5">
      <c r="A7" s="1" t="s">
        <v>9</v>
      </c>
      <c r="B7" s="1" t="s">
        <v>36</v>
      </c>
      <c r="C7">
        <v>4</v>
      </c>
      <c r="D7">
        <v>40</v>
      </c>
      <c r="E7">
        <f t="shared" si="0"/>
        <v>160</v>
      </c>
    </row>
    <row r="8" spans="1:5">
      <c r="A8" s="1" t="s">
        <v>10</v>
      </c>
      <c r="B8" s="1" t="s">
        <v>37</v>
      </c>
    </row>
    <row r="9" spans="1:5">
      <c r="A9" s="1" t="s">
        <v>11</v>
      </c>
      <c r="B9" s="1" t="s">
        <v>38</v>
      </c>
      <c r="C9">
        <v>1</v>
      </c>
      <c r="D9">
        <v>480</v>
      </c>
      <c r="E9">
        <f t="shared" si="0"/>
        <v>480</v>
      </c>
    </row>
    <row r="10" spans="1:5">
      <c r="A10" s="1" t="s">
        <v>70</v>
      </c>
      <c r="B10" s="1" t="s">
        <v>71</v>
      </c>
      <c r="C10">
        <v>1</v>
      </c>
      <c r="D10">
        <v>240</v>
      </c>
      <c r="E10">
        <f>C10*D10</f>
        <v>240</v>
      </c>
    </row>
    <row r="11" spans="1:5">
      <c r="A11" s="1" t="s">
        <v>12</v>
      </c>
      <c r="B11" s="1" t="s">
        <v>39</v>
      </c>
      <c r="C11">
        <v>1</v>
      </c>
      <c r="D11">
        <v>600</v>
      </c>
      <c r="E11">
        <f t="shared" si="0"/>
        <v>600</v>
      </c>
    </row>
    <row r="12" spans="1:5">
      <c r="A12" s="1" t="s">
        <v>13</v>
      </c>
      <c r="B12" s="1" t="s">
        <v>40</v>
      </c>
      <c r="C12">
        <v>1</v>
      </c>
      <c r="D12">
        <v>330</v>
      </c>
      <c r="E12">
        <f t="shared" si="0"/>
        <v>330</v>
      </c>
    </row>
    <row r="13" spans="1:5">
      <c r="A13" s="1" t="s">
        <v>14</v>
      </c>
      <c r="B13" s="1" t="s">
        <v>41</v>
      </c>
      <c r="C13">
        <v>1</v>
      </c>
      <c r="D13">
        <v>40</v>
      </c>
      <c r="E13">
        <f t="shared" si="0"/>
        <v>40</v>
      </c>
    </row>
    <row r="14" spans="1:5">
      <c r="A14" s="1" t="s">
        <v>15</v>
      </c>
      <c r="B14" s="1" t="s">
        <v>42</v>
      </c>
      <c r="C14">
        <v>1</v>
      </c>
      <c r="D14">
        <v>50</v>
      </c>
      <c r="E14">
        <f t="shared" si="0"/>
        <v>50</v>
      </c>
    </row>
    <row r="15" spans="1:5">
      <c r="A15" s="1" t="s">
        <v>16</v>
      </c>
      <c r="B15" s="1" t="s">
        <v>43</v>
      </c>
      <c r="C15">
        <v>1</v>
      </c>
      <c r="D15">
        <v>50</v>
      </c>
      <c r="E15">
        <f t="shared" si="0"/>
        <v>50</v>
      </c>
    </row>
    <row r="16" spans="1:5" ht="15.6">
      <c r="A16" s="4" t="s">
        <v>65</v>
      </c>
      <c r="B16" s="5" t="s">
        <v>63</v>
      </c>
      <c r="C16" s="3"/>
      <c r="D16" s="3"/>
      <c r="E16" s="3"/>
    </row>
    <row r="17" spans="1:5">
      <c r="A17" s="1" t="s">
        <v>17</v>
      </c>
      <c r="B17" s="1" t="s">
        <v>44</v>
      </c>
      <c r="C17">
        <v>1</v>
      </c>
      <c r="D17">
        <v>1750</v>
      </c>
      <c r="E17">
        <f t="shared" si="0"/>
        <v>1750</v>
      </c>
    </row>
    <row r="18" spans="1:5">
      <c r="A18" s="1" t="s">
        <v>18</v>
      </c>
      <c r="B18" s="1" t="s">
        <v>45</v>
      </c>
      <c r="C18">
        <v>1</v>
      </c>
      <c r="D18">
        <v>130</v>
      </c>
      <c r="E18">
        <f t="shared" si="0"/>
        <v>130</v>
      </c>
    </row>
    <row r="19" spans="1:5">
      <c r="A19" s="1" t="s">
        <v>19</v>
      </c>
      <c r="B19" s="1" t="s">
        <v>46</v>
      </c>
      <c r="C19">
        <v>1</v>
      </c>
      <c r="D19">
        <v>10</v>
      </c>
      <c r="E19">
        <f t="shared" si="0"/>
        <v>10</v>
      </c>
    </row>
    <row r="20" spans="1:5">
      <c r="A20" s="1" t="s">
        <v>20</v>
      </c>
      <c r="B20" s="1" t="s">
        <v>47</v>
      </c>
      <c r="E20">
        <f t="shared" si="0"/>
        <v>0</v>
      </c>
    </row>
    <row r="21" spans="1:5" ht="15.6">
      <c r="A21" s="4" t="s">
        <v>66</v>
      </c>
      <c r="B21" s="5" t="s">
        <v>67</v>
      </c>
      <c r="C21" s="3"/>
      <c r="D21" s="3"/>
      <c r="E21" s="3"/>
    </row>
    <row r="22" spans="1:5">
      <c r="A22" s="1" t="s">
        <v>21</v>
      </c>
      <c r="B22" s="1" t="s">
        <v>48</v>
      </c>
      <c r="C22">
        <v>1</v>
      </c>
      <c r="D22">
        <v>130</v>
      </c>
      <c r="E22">
        <f t="shared" si="0"/>
        <v>130</v>
      </c>
    </row>
    <row r="23" spans="1:5">
      <c r="A23" s="1" t="s">
        <v>22</v>
      </c>
      <c r="B23" s="1" t="s">
        <v>49</v>
      </c>
      <c r="C23">
        <v>3</v>
      </c>
      <c r="D23">
        <v>170</v>
      </c>
      <c r="E23">
        <f t="shared" si="0"/>
        <v>510</v>
      </c>
    </row>
    <row r="24" spans="1:5">
      <c r="A24" s="1" t="s">
        <v>23</v>
      </c>
      <c r="B24" s="1" t="s">
        <v>50</v>
      </c>
      <c r="C24">
        <v>1</v>
      </c>
      <c r="D24">
        <v>250</v>
      </c>
      <c r="E24">
        <f t="shared" si="0"/>
        <v>250</v>
      </c>
    </row>
    <row r="25" spans="1:5">
      <c r="A25" s="1" t="s">
        <v>24</v>
      </c>
      <c r="B25" s="1" t="s">
        <v>51</v>
      </c>
      <c r="C25">
        <v>20</v>
      </c>
      <c r="D25">
        <v>4</v>
      </c>
      <c r="E25">
        <f t="shared" si="0"/>
        <v>80</v>
      </c>
    </row>
    <row r="26" spans="1:5" ht="15.6">
      <c r="A26" s="3"/>
      <c r="B26" s="5" t="s">
        <v>68</v>
      </c>
      <c r="C26" s="3"/>
      <c r="D26" s="3"/>
      <c r="E26" s="3"/>
    </row>
    <row r="27" spans="1:5">
      <c r="A27" s="1" t="s">
        <v>25</v>
      </c>
      <c r="B27" s="1" t="s">
        <v>52</v>
      </c>
      <c r="C27">
        <v>1</v>
      </c>
      <c r="D27">
        <v>680</v>
      </c>
      <c r="E27">
        <f t="shared" si="0"/>
        <v>680</v>
      </c>
    </row>
    <row r="28" spans="1:5">
      <c r="A28" s="1" t="s">
        <v>26</v>
      </c>
      <c r="B28" s="1" t="s">
        <v>53</v>
      </c>
      <c r="C28">
        <v>2</v>
      </c>
      <c r="D28">
        <v>100</v>
      </c>
      <c r="E28">
        <f t="shared" si="0"/>
        <v>200</v>
      </c>
    </row>
    <row r="29" spans="1:5">
      <c r="A29" s="1" t="s">
        <v>27</v>
      </c>
      <c r="B29" s="1" t="s">
        <v>54</v>
      </c>
      <c r="C29">
        <v>1</v>
      </c>
      <c r="D29">
        <v>250</v>
      </c>
      <c r="E29">
        <f t="shared" si="0"/>
        <v>250</v>
      </c>
    </row>
    <row r="30" spans="1:5" ht="15.6">
      <c r="A30" s="3"/>
      <c r="B30" s="5" t="s">
        <v>69</v>
      </c>
      <c r="C30" s="3"/>
      <c r="D30" s="3"/>
      <c r="E30" s="3"/>
    </row>
    <row r="31" spans="1:5">
      <c r="A31" s="1" t="s">
        <v>28</v>
      </c>
      <c r="B31" s="1" t="s">
        <v>55</v>
      </c>
      <c r="C31">
        <v>3</v>
      </c>
      <c r="D31">
        <v>230</v>
      </c>
      <c r="E31">
        <f t="shared" si="0"/>
        <v>690</v>
      </c>
    </row>
    <row r="32" spans="1:5">
      <c r="A32" s="1" t="s">
        <v>29</v>
      </c>
      <c r="B32" s="1" t="s">
        <v>56</v>
      </c>
      <c r="C32">
        <v>2</v>
      </c>
      <c r="D32">
        <v>530</v>
      </c>
      <c r="E32">
        <f t="shared" si="0"/>
        <v>1060</v>
      </c>
    </row>
    <row r="33" spans="1:5">
      <c r="A33" s="1" t="s">
        <v>75</v>
      </c>
      <c r="B33" s="1" t="s">
        <v>57</v>
      </c>
      <c r="C33">
        <v>1</v>
      </c>
      <c r="D33">
        <v>60</v>
      </c>
      <c r="E33">
        <f t="shared" si="0"/>
        <v>60</v>
      </c>
    </row>
    <row r="34" spans="1:5">
      <c r="A34" s="1" t="s">
        <v>72</v>
      </c>
      <c r="B34" s="1" t="s">
        <v>73</v>
      </c>
      <c r="C34">
        <v>1</v>
      </c>
      <c r="D34">
        <v>60</v>
      </c>
      <c r="E34">
        <f t="shared" si="0"/>
        <v>60</v>
      </c>
    </row>
    <row r="35" spans="1:5">
      <c r="A35" s="1" t="s">
        <v>74</v>
      </c>
      <c r="B35" s="1" t="s">
        <v>73</v>
      </c>
      <c r="C35">
        <v>1</v>
      </c>
      <c r="D35">
        <v>60</v>
      </c>
      <c r="E35">
        <f t="shared" si="0"/>
        <v>60</v>
      </c>
    </row>
    <row r="36" spans="1:5">
      <c r="A36" s="1" t="s">
        <v>30</v>
      </c>
      <c r="B36" s="1" t="s">
        <v>58</v>
      </c>
      <c r="C36">
        <v>6</v>
      </c>
      <c r="D36">
        <v>2</v>
      </c>
      <c r="E36">
        <f t="shared" si="0"/>
        <v>12</v>
      </c>
    </row>
    <row r="37" spans="1:5">
      <c r="A37" s="1" t="s">
        <v>31</v>
      </c>
      <c r="B37" s="1" t="s">
        <v>59</v>
      </c>
      <c r="C37">
        <v>1</v>
      </c>
      <c r="D37">
        <v>350</v>
      </c>
      <c r="E37">
        <f t="shared" si="0"/>
        <v>350</v>
      </c>
    </row>
    <row r="40" spans="1:5">
      <c r="B40" s="2" t="s">
        <v>60</v>
      </c>
      <c r="D40" s="2">
        <f>SUM(E2:E37)</f>
        <v>11002</v>
      </c>
    </row>
    <row r="42" spans="1:5">
      <c r="B42" s="2" t="s">
        <v>61</v>
      </c>
      <c r="D42" s="2">
        <f>10782/3</f>
        <v>3594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Sukry</dc:creator>
  <cp:lastModifiedBy>ASUS</cp:lastModifiedBy>
  <dcterms:created xsi:type="dcterms:W3CDTF">2025-09-25T06:12:57Z</dcterms:created>
  <dcterms:modified xsi:type="dcterms:W3CDTF">2025-10-02T08:56:12Z</dcterms:modified>
</cp:coreProperties>
</file>